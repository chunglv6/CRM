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30" windowHeight="11760" activeTab="4"/>
  </bookViews>
  <sheets>
    <sheet name="WHITELIST" sheetId="7" r:id="rId1"/>
    <sheet name="BLACKLIST" sheetId="8" r:id="rId2"/>
    <sheet name="EXCEPTIONVEHICLE" sheetId="6" r:id="rId3"/>
    <sheet name="EXCEPTIONTICKET" sheetId="1" r:id="rId4"/>
    <sheet name="Categories" sheetId="5" r:id="rId5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4" i="5" l="1"/>
  <c r="AC3" i="5"/>
  <c r="U5" i="5"/>
  <c r="U6" i="5"/>
  <c r="Y6" i="5" l="1"/>
  <c r="Y5" i="5"/>
  <c r="Y4" i="5"/>
  <c r="Y3" i="5"/>
  <c r="Q3" i="5" l="1"/>
  <c r="U4" i="5"/>
  <c r="U3" i="5"/>
  <c r="Q4" i="5" l="1"/>
  <c r="M5" i="5"/>
  <c r="M4" i="5"/>
  <c r="M3" i="5"/>
  <c r="H7" i="5"/>
  <c r="H6" i="5"/>
  <c r="H5" i="5"/>
  <c r="H4" i="5"/>
  <c r="H3" i="5"/>
  <c r="C4" i="5" l="1"/>
  <c r="C5" i="5"/>
  <c r="C6" i="5"/>
  <c r="C7" i="5"/>
  <c r="C3" i="5"/>
</calcChain>
</file>

<file path=xl/sharedStrings.xml><?xml version="1.0" encoding="utf-8"?>
<sst xmlns="http://schemas.openxmlformats.org/spreadsheetml/2006/main" count="112" uniqueCount="65">
  <si>
    <t>STT</t>
  </si>
  <si>
    <t>Biển số xe</t>
  </si>
  <si>
    <t>Ngày hiệu lực</t>
  </si>
  <si>
    <t>Ngày hết hiệu lực</t>
  </si>
  <si>
    <t>Ghi chú</t>
  </si>
  <si>
    <t>99A-9999</t>
  </si>
  <si>
    <t>Mã</t>
  </si>
  <si>
    <t>Tên</t>
  </si>
  <si>
    <t>Loại 1</t>
  </si>
  <si>
    <t>Loại 2</t>
  </si>
  <si>
    <t>Loại 3</t>
  </si>
  <si>
    <t>Loại 4</t>
  </si>
  <si>
    <t>Loại 5</t>
  </si>
  <si>
    <t>Danh mục</t>
  </si>
  <si>
    <t>Màu Trắng</t>
  </si>
  <si>
    <t>Màu Xanh</t>
  </si>
  <si>
    <t>Màu Đỏ</t>
  </si>
  <si>
    <t>Màu Cam</t>
  </si>
  <si>
    <t>Màu đen</t>
  </si>
  <si>
    <t>001</t>
  </si>
  <si>
    <t>002</t>
  </si>
  <si>
    <t>Trạm Sông Phan</t>
  </si>
  <si>
    <t>Trạm Cà ná</t>
  </si>
  <si>
    <t>Trạm Cai Lậy</t>
  </si>
  <si>
    <t>Đoạn Pháp vân-cầu rẽ</t>
  </si>
  <si>
    <t>99A-9998</t>
  </si>
  <si>
    <t>DANH MỤC LOẠI BIỂN</t>
  </si>
  <si>
    <t>DANH MỤC ĐOẠN</t>
  </si>
  <si>
    <t>DANH MỤC TRẠM MỞ</t>
  </si>
  <si>
    <t>003</t>
  </si>
  <si>
    <t>Đoạn Pháp vân - thường tín</t>
  </si>
  <si>
    <t>DANH MỤC LOẠI GIẢM GIÁ VÉ</t>
  </si>
  <si>
    <t>Giảm 10%</t>
  </si>
  <si>
    <t>Giảm 20%</t>
  </si>
  <si>
    <t>Giảm 30%</t>
  </si>
  <si>
    <t>Giảm 40%</t>
  </si>
  <si>
    <t>DM loại vi phạm</t>
  </si>
  <si>
    <t>DANH MỤC LOẠI VI PHẠM</t>
  </si>
  <si>
    <t>DANH SÁCH XE CÓ NGOẠI LỆ VÉ</t>
  </si>
  <si>
    <t>Loại PT tính phí</t>
  </si>
  <si>
    <t>DM ngoại lệ vé</t>
  </si>
  <si>
    <t>2|Loại 2</t>
  </si>
  <si>
    <t>1|Loại 1</t>
  </si>
  <si>
    <t>1|Giảm 10%</t>
  </si>
  <si>
    <t>2|Giảm 20%</t>
  </si>
  <si>
    <t>DANH MỤC LOẠI XE TÍNH PHÍ</t>
  </si>
  <si>
    <t>DANH MỤC LOẠI ƯU TIÊN</t>
  </si>
  <si>
    <t>Xe cứu hỏa</t>
  </si>
  <si>
    <t>Xe cứu thương</t>
  </si>
  <si>
    <t>Xe đang làm nhiệm vụ</t>
  </si>
  <si>
    <t>Xe ngoại giao</t>
  </si>
  <si>
    <t>Xe nợ quá hạn</t>
  </si>
  <si>
    <t>Xe nợ xấu</t>
  </si>
  <si>
    <t>1|Xe nợ quá hạn</t>
  </si>
  <si>
    <t>2|Xe nợ xấu</t>
  </si>
  <si>
    <t>DANH SÁCH XE VI PHẠM</t>
  </si>
  <si>
    <t>DANH SÁCH XE ƯU TIÊN</t>
  </si>
  <si>
    <t>DANH SÁCH XE CÓ NGOẠI LỆ  XE</t>
  </si>
  <si>
    <t>1|Xe cứu hỏa</t>
  </si>
  <si>
    <t>2|Xe cứu thương</t>
  </si>
  <si>
    <t>DM ưu tiên</t>
  </si>
  <si>
    <t>u</t>
  </si>
  <si>
    <t>y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</si>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</sst>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14" fontId="0" fillId="0" borderId="0" xfId="0" applyNumberFormat="1"/>
    <xf numFmtId="0" fontId="0" fillId="3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F4" sqref="F4"/>
    </sheetView>
  </sheetViews>
  <sheetFormatPr defaultRowHeight="15" x14ac:dyDescent="0.25"/>
  <cols>
    <col min="3" max="3" width="16.85546875" customWidth="1"/>
    <col min="4" max="4" width="13.140625" bestFit="1" customWidth="1"/>
    <col min="5" max="5" width="17.7109375" customWidth="1"/>
    <col min="6" max="6" width="12.7109375" customWidth="1"/>
  </cols>
  <sheetData>
    <row r="1" spans="1:6" x14ac:dyDescent="0.25">
      <c r="A1" s="6" t="s">
        <v>56</v>
      </c>
      <c r="B1" s="6"/>
      <c r="C1" s="6"/>
      <c r="D1" s="6"/>
      <c r="E1" s="6"/>
      <c r="F1" s="6"/>
    </row>
    <row r="2" spans="1:6" x14ac:dyDescent="0.25">
      <c r="A2" s="5" t="s">
        <v>0</v>
      </c>
      <c r="B2" s="5" t="s">
        <v>1</v>
      </c>
      <c r="C2" s="5" t="s">
        <v>60</v>
      </c>
      <c r="D2" s="5" t="s">
        <v>2</v>
      </c>
      <c r="E2" s="5" t="s">
        <v>3</v>
      </c>
      <c r="F2" s="5" t="s">
        <v>4</v>
      </c>
    </row>
    <row r="3" spans="1:6" x14ac:dyDescent="0.25">
      <c r="A3" s="1">
        <v>1</v>
      </c>
      <c r="B3" t="s">
        <v>5</v>
      </c>
      <c r="C3" t="s">
        <v>58</v>
      </c>
      <c r="D3" s="3">
        <v>44032</v>
      </c>
      <c r="E3" s="3">
        <v>44094</v>
      </c>
      <c r="F3" t="s">
        <v>61</v>
      </c>
    </row>
    <row r="4" spans="1:6" x14ac:dyDescent="0.25">
      <c r="A4" s="1">
        <v>2</v>
      </c>
      <c r="B4" t="s">
        <v>25</v>
      </c>
      <c r="C4" t="s">
        <v>59</v>
      </c>
      <c r="D4" s="3">
        <v>44032</v>
      </c>
      <c r="E4" s="3">
        <v>44094</v>
      </c>
      <c r="F4" t="s">
        <v>62</v>
      </c>
    </row>
  </sheetData>
  <mergeCells count="1">
    <mergeCell ref="A1:F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Categories!$U$3:$U$6</xm:f>
          </x14:formula1>
          <xm:sqref>C3:C4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F4" sqref="F4"/>
    </sheetView>
  </sheetViews>
  <sheetFormatPr defaultRowHeight="15" x14ac:dyDescent="0.25"/>
  <cols>
    <col min="2" max="2" width="11" customWidth="1"/>
    <col min="3" max="3" width="17.42578125" customWidth="1"/>
    <col min="4" max="4" width="14" customWidth="1"/>
    <col min="5" max="5" width="15.28515625" customWidth="1"/>
  </cols>
  <sheetData>
    <row r="1" spans="1:6" ht="25.5" customHeight="1" x14ac:dyDescent="0.25">
      <c r="A1" s="6" t="s">
        <v>55</v>
      </c>
      <c r="B1" s="6"/>
      <c r="C1" s="6"/>
      <c r="D1" s="6"/>
      <c r="E1" s="6"/>
      <c r="F1" s="6"/>
    </row>
    <row r="2" spans="1:6" x14ac:dyDescent="0.25">
      <c r="A2" s="5" t="s">
        <v>0</v>
      </c>
      <c r="B2" s="5" t="s">
        <v>1</v>
      </c>
      <c r="C2" s="5" t="s">
        <v>36</v>
      </c>
      <c r="D2" s="5" t="s">
        <v>2</v>
      </c>
      <c r="E2" s="5" t="s">
        <v>3</v>
      </c>
      <c r="F2" s="5" t="s">
        <v>4</v>
      </c>
    </row>
    <row r="3" spans="1:6" x14ac:dyDescent="0.25">
      <c r="A3" s="1">
        <v>1</v>
      </c>
      <c r="B3" t="s">
        <v>5</v>
      </c>
      <c r="C3" t="s">
        <v>53</v>
      </c>
      <c r="D3" s="3">
        <v>44032</v>
      </c>
      <c r="E3" s="3">
        <v>44094</v>
      </c>
      <c r="F3" t="s">
        <v>61</v>
      </c>
    </row>
    <row r="4" spans="1:6" x14ac:dyDescent="0.25">
      <c r="A4" s="1">
        <v>2</v>
      </c>
      <c r="B4" t="s">
        <v>25</v>
      </c>
      <c r="C4" t="s">
        <v>54</v>
      </c>
      <c r="D4" s="3">
        <v>44032</v>
      </c>
      <c r="E4" s="3">
        <v>44094</v>
      </c>
      <c r="F4" t="s">
        <v>61</v>
      </c>
    </row>
  </sheetData>
  <mergeCells count="1">
    <mergeCell ref="A1:F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Categories!$AC$3:$AC$4</xm:f>
          </x14:formula1>
          <xm:sqref>C3:C4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F4" sqref="F4"/>
    </sheetView>
  </sheetViews>
  <sheetFormatPr defaultRowHeight="15" x14ac:dyDescent="0.25"/>
  <cols>
    <col min="3" max="3" width="16.140625" customWidth="1"/>
    <col min="4" max="4" width="12" customWidth="1"/>
    <col min="5" max="5" width="14.140625" customWidth="1"/>
  </cols>
  <sheetData>
    <row r="1" spans="1:6" ht="25.5" customHeight="1" x14ac:dyDescent="0.25">
      <c r="A1" s="6" t="s">
        <v>57</v>
      </c>
      <c r="B1" s="6"/>
      <c r="C1" s="6"/>
      <c r="D1" s="6"/>
      <c r="E1" s="6"/>
      <c r="F1" s="6"/>
    </row>
    <row r="2" spans="1:6" x14ac:dyDescent="0.25">
      <c r="A2" s="5" t="s">
        <v>0</v>
      </c>
      <c r="B2" s="5" t="s">
        <v>1</v>
      </c>
      <c r="C2" s="5" t="s">
        <v>39</v>
      </c>
      <c r="D2" s="5" t="s">
        <v>2</v>
      </c>
      <c r="E2" s="5" t="s">
        <v>3</v>
      </c>
      <c r="F2" s="5" t="s">
        <v>4</v>
      </c>
    </row>
    <row r="3" spans="1:6" x14ac:dyDescent="0.25">
      <c r="A3" s="1">
        <v>1</v>
      </c>
      <c r="B3" t="s">
        <v>5</v>
      </c>
      <c r="C3" t="s">
        <v>41</v>
      </c>
      <c r="D3" s="3">
        <v>44032</v>
      </c>
      <c r="E3" s="3">
        <v>44094</v>
      </c>
      <c r="F3" t="s">
        <v>63</v>
      </c>
    </row>
    <row r="4" spans="1:6" x14ac:dyDescent="0.25">
      <c r="A4" s="1">
        <v>2</v>
      </c>
      <c r="B4" t="s">
        <v>25</v>
      </c>
      <c r="C4" t="s">
        <v>42</v>
      </c>
      <c r="D4" s="3">
        <v>44032</v>
      </c>
      <c r="E4" s="3">
        <v>44094</v>
      </c>
      <c r="F4" t="s">
        <v>63</v>
      </c>
    </row>
  </sheetData>
  <mergeCells count="1">
    <mergeCell ref="A1:F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Categories!$H$3:$H$7</xm:f>
          </x14:formula1>
          <xm:sqref>C3:C4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F4" sqref="F4"/>
    </sheetView>
  </sheetViews>
  <sheetFormatPr defaultRowHeight="15" x14ac:dyDescent="0.25"/>
  <cols>
    <col min="1" max="1" width="5.85546875" customWidth="1"/>
    <col min="2" max="2" width="13.5703125" customWidth="1"/>
    <col min="3" max="3" width="19.42578125" customWidth="1"/>
    <col min="4" max="4" width="15.42578125" customWidth="1"/>
    <col min="5" max="5" width="16.7109375" customWidth="1"/>
    <col min="6" max="6" width="14.7109375" customWidth="1"/>
  </cols>
  <sheetData>
    <row r="1" spans="1:6" ht="25.5" customHeight="1" x14ac:dyDescent="0.25">
      <c r="A1" s="6" t="s">
        <v>38</v>
      </c>
      <c r="B1" s="6"/>
      <c r="C1" s="6"/>
      <c r="D1" s="6"/>
      <c r="E1" s="6"/>
      <c r="F1" s="6"/>
    </row>
    <row r="2" spans="1:6" x14ac:dyDescent="0.25">
      <c r="A2" s="5" t="s">
        <v>0</v>
      </c>
      <c r="B2" s="5" t="s">
        <v>1</v>
      </c>
      <c r="C2" s="5" t="s">
        <v>40</v>
      </c>
      <c r="D2" s="5" t="s">
        <v>2</v>
      </c>
      <c r="E2" s="5" t="s">
        <v>3</v>
      </c>
      <c r="F2" s="5" t="s">
        <v>4</v>
      </c>
    </row>
    <row r="3" spans="1:6" x14ac:dyDescent="0.25">
      <c r="A3" s="1">
        <v>1</v>
      </c>
      <c r="B3" t="s">
        <v>5</v>
      </c>
      <c r="C3" t="s">
        <v>43</v>
      </c>
      <c r="D3" s="3">
        <v>44032</v>
      </c>
      <c r="E3" s="3">
        <v>44094</v>
      </c>
      <c r="F3" t="s">
        <v>64</v>
      </c>
    </row>
    <row r="4" spans="1:6" x14ac:dyDescent="0.25">
      <c r="A4" s="1">
        <v>2</v>
      </c>
      <c r="B4" t="s">
        <v>25</v>
      </c>
      <c r="C4" t="s">
        <v>44</v>
      </c>
      <c r="D4" s="3">
        <v>44032</v>
      </c>
      <c r="E4" s="3">
        <v>44094</v>
      </c>
      <c r="F4" t="s">
        <v>64</v>
      </c>
    </row>
    <row r="5" spans="1:6" x14ac:dyDescent="0.25">
      <c r="A5" s="1"/>
    </row>
  </sheetData>
  <mergeCells count="1">
    <mergeCell ref="A1:F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Categories!$U$3:$U$4</xm:f>
          </x14:formula1>
          <xm:sqref>C5:C30</xm:sqref>
        </x14:dataValidation>
        <x14:dataValidation type="list" allowBlank="1" showInputMessage="1" showErrorMessage="1">
          <x14:formula1>
            <xm:f>Categories!$Y$3:$Y$6</xm:f>
          </x14:formula1>
          <xm:sqref>C3:C4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"/>
  <sheetViews>
    <sheetView tabSelected="1" workbookViewId="0">
      <selection activeCell="M32" sqref="M32"/>
    </sheetView>
  </sheetViews>
  <sheetFormatPr defaultRowHeight="15" x14ac:dyDescent="0.25"/>
  <cols>
    <col min="2" max="2" width="11.140625" customWidth="1"/>
    <col min="12" max="12" width="15.140625" bestFit="1" customWidth="1"/>
    <col min="13" max="13" width="19.28515625" bestFit="1" customWidth="1"/>
    <col min="14" max="14" width="10.7109375" customWidth="1"/>
    <col min="15" max="15" width="10.140625" customWidth="1"/>
    <col min="16" max="16" width="11.7109375" customWidth="1"/>
    <col min="18" max="18" width="22" customWidth="1"/>
    <col min="20" max="20" width="18" customWidth="1"/>
    <col min="21" max="21" width="12.42578125" customWidth="1"/>
    <col min="24" max="24" width="12.85546875" customWidth="1"/>
    <col min="25" max="25" width="11.7109375" customWidth="1"/>
  </cols>
  <sheetData>
    <row r="1" spans="1:29" x14ac:dyDescent="0.25">
      <c r="A1" t="s">
        <v>26</v>
      </c>
      <c r="F1" t="s">
        <v>45</v>
      </c>
      <c r="K1" t="s">
        <v>28</v>
      </c>
      <c r="O1" t="s">
        <v>27</v>
      </c>
      <c r="S1" t="s">
        <v>46</v>
      </c>
      <c r="W1" t="s">
        <v>31</v>
      </c>
      <c r="AA1" t="s">
        <v>37</v>
      </c>
    </row>
    <row r="2" spans="1:29" x14ac:dyDescent="0.25">
      <c r="A2" s="4" t="s">
        <v>6</v>
      </c>
      <c r="B2" s="4" t="s">
        <v>7</v>
      </c>
      <c r="C2" s="4" t="s">
        <v>13</v>
      </c>
      <c r="F2" s="4" t="s">
        <v>6</v>
      </c>
      <c r="G2" s="4" t="s">
        <v>7</v>
      </c>
      <c r="H2" s="4" t="s">
        <v>13</v>
      </c>
      <c r="K2" s="4" t="s">
        <v>6</v>
      </c>
      <c r="L2" s="4" t="s">
        <v>7</v>
      </c>
      <c r="M2" s="4" t="s">
        <v>13</v>
      </c>
      <c r="O2" s="4" t="s">
        <v>6</v>
      </c>
      <c r="P2" s="4" t="s">
        <v>7</v>
      </c>
      <c r="Q2" s="4" t="s">
        <v>13</v>
      </c>
      <c r="S2" s="4" t="s">
        <v>6</v>
      </c>
      <c r="T2" s="4" t="s">
        <v>7</v>
      </c>
      <c r="U2" s="4" t="s">
        <v>13</v>
      </c>
      <c r="W2" s="4" t="s">
        <v>6</v>
      </c>
      <c r="X2" s="4" t="s">
        <v>7</v>
      </c>
      <c r="Y2" s="4" t="s">
        <v>13</v>
      </c>
      <c r="AA2" s="4" t="s">
        <v>6</v>
      </c>
      <c r="AB2" s="4" t="s">
        <v>7</v>
      </c>
      <c r="AC2" s="4" t="s">
        <v>13</v>
      </c>
    </row>
    <row r="3" spans="1:29" x14ac:dyDescent="0.25">
      <c r="A3">
        <v>1</v>
      </c>
      <c r="B3" t="s">
        <v>14</v>
      </c>
      <c r="C3" t="str">
        <f>A3&amp;"|"&amp;B3</f>
        <v>1|Màu Trắng</v>
      </c>
      <c r="F3">
        <v>1</v>
      </c>
      <c r="G3" t="s">
        <v>8</v>
      </c>
      <c r="H3" t="str">
        <f>F3&amp;"|"&amp;G3</f>
        <v>1|Loại 1</v>
      </c>
      <c r="K3" s="2" t="s">
        <v>19</v>
      </c>
      <c r="L3" t="s">
        <v>21</v>
      </c>
      <c r="M3" t="str">
        <f>K3&amp;"|"&amp;L3</f>
        <v>001|Trạm Sông Phan</v>
      </c>
      <c r="O3" s="2" t="s">
        <v>19</v>
      </c>
      <c r="P3" t="s">
        <v>30</v>
      </c>
      <c r="Q3" t="str">
        <f>O3&amp;"|"&amp;P3</f>
        <v>001|Đoạn Pháp vân - thường tín</v>
      </c>
      <c r="S3" s="2">
        <v>1</v>
      </c>
      <c r="T3" t="s">
        <v>47</v>
      </c>
      <c r="U3" t="str">
        <f>S3&amp;"|"&amp;T3</f>
        <v>1|Xe cứu hỏa</v>
      </c>
      <c r="W3" s="2">
        <v>1</v>
      </c>
      <c r="X3" t="s">
        <v>32</v>
      </c>
      <c r="Y3" t="str">
        <f>W3&amp;"|"&amp;X3</f>
        <v>1|Giảm 10%</v>
      </c>
      <c r="AA3" s="2">
        <v>1</v>
      </c>
      <c r="AB3" t="s">
        <v>51</v>
      </c>
      <c r="AC3" t="str">
        <f>AA3&amp;"|"&amp;AB3</f>
        <v>1|Xe nợ quá hạn</v>
      </c>
    </row>
    <row r="4" spans="1:29" x14ac:dyDescent="0.25">
      <c r="A4">
        <v>2</v>
      </c>
      <c r="B4" t="s">
        <v>15</v>
      </c>
      <c r="C4" t="str">
        <f t="shared" ref="C4:C7" si="0">A4&amp;"|"&amp;B4</f>
        <v>2|Màu Xanh</v>
      </c>
      <c r="F4">
        <v>2</v>
      </c>
      <c r="G4" t="s">
        <v>9</v>
      </c>
      <c r="H4" t="str">
        <f t="shared" ref="H4:H7" si="1">F4&amp;"|"&amp;G4</f>
        <v>2|Loại 2</v>
      </c>
      <c r="K4" s="2" t="s">
        <v>20</v>
      </c>
      <c r="L4" t="s">
        <v>22</v>
      </c>
      <c r="M4" t="str">
        <f t="shared" ref="M4:M5" si="2">K4&amp;"|"&amp;L4</f>
        <v>002|Trạm Cà ná</v>
      </c>
      <c r="O4" s="2" t="s">
        <v>20</v>
      </c>
      <c r="P4" t="s">
        <v>24</v>
      </c>
      <c r="Q4" t="str">
        <f t="shared" ref="Q4" si="3">O4&amp;"|"&amp;P4</f>
        <v>002|Đoạn Pháp vân-cầu rẽ</v>
      </c>
      <c r="S4" s="2">
        <v>2</v>
      </c>
      <c r="T4" t="s">
        <v>48</v>
      </c>
      <c r="U4" t="str">
        <f t="shared" ref="U4:U6" si="4">S4&amp;"|"&amp;T4</f>
        <v>2|Xe cứu thương</v>
      </c>
      <c r="W4" s="2">
        <v>2</v>
      </c>
      <c r="X4" t="s">
        <v>33</v>
      </c>
      <c r="Y4" t="str">
        <f t="shared" ref="Y4:Y6" si="5">W4&amp;"|"&amp;X4</f>
        <v>2|Giảm 20%</v>
      </c>
      <c r="AA4" s="2">
        <v>2</v>
      </c>
      <c r="AB4" t="s">
        <v>52</v>
      </c>
      <c r="AC4" t="str">
        <f t="shared" ref="AC4" si="6">AA4&amp;"|"&amp;AB4</f>
        <v>2|Xe nợ xấu</v>
      </c>
    </row>
    <row r="5" spans="1:29" x14ac:dyDescent="0.25">
      <c r="A5">
        <v>3</v>
      </c>
      <c r="B5" t="s">
        <v>16</v>
      </c>
      <c r="C5" t="str">
        <f t="shared" si="0"/>
        <v>3|Màu Đỏ</v>
      </c>
      <c r="F5">
        <v>3</v>
      </c>
      <c r="G5" t="s">
        <v>10</v>
      </c>
      <c r="H5" t="str">
        <f t="shared" si="1"/>
        <v>3|Loại 3</v>
      </c>
      <c r="K5" s="2" t="s">
        <v>20</v>
      </c>
      <c r="L5" t="s">
        <v>23</v>
      </c>
      <c r="M5" t="str">
        <f t="shared" si="2"/>
        <v>002|Trạm Cai Lậy</v>
      </c>
      <c r="O5" s="2" t="s">
        <v>29</v>
      </c>
      <c r="P5" t="s">
        <v>24</v>
      </c>
      <c r="S5">
        <v>3</v>
      </c>
      <c r="T5" t="s">
        <v>49</v>
      </c>
      <c r="U5" t="str">
        <f t="shared" si="4"/>
        <v>3|Xe đang làm nhiệm vụ</v>
      </c>
      <c r="W5">
        <v>3</v>
      </c>
      <c r="X5" t="s">
        <v>34</v>
      </c>
      <c r="Y5" t="str">
        <f t="shared" si="5"/>
        <v>3|Giảm 30%</v>
      </c>
    </row>
    <row r="6" spans="1:29" x14ac:dyDescent="0.25">
      <c r="A6">
        <v>4</v>
      </c>
      <c r="B6" t="s">
        <v>17</v>
      </c>
      <c r="C6" t="str">
        <f t="shared" si="0"/>
        <v>4|Màu Cam</v>
      </c>
      <c r="F6">
        <v>4</v>
      </c>
      <c r="G6" t="s">
        <v>11</v>
      </c>
      <c r="H6" t="str">
        <f t="shared" si="1"/>
        <v>4|Loại 4</v>
      </c>
      <c r="S6">
        <v>4</v>
      </c>
      <c r="T6" t="s">
        <v>50</v>
      </c>
      <c r="U6" t="str">
        <f t="shared" si="4"/>
        <v>4|Xe ngoại giao</v>
      </c>
      <c r="W6">
        <v>4</v>
      </c>
      <c r="X6" t="s">
        <v>35</v>
      </c>
      <c r="Y6" t="str">
        <f t="shared" si="5"/>
        <v>4|Giảm 40%</v>
      </c>
    </row>
    <row r="7" spans="1:29" x14ac:dyDescent="0.25">
      <c r="A7">
        <v>5</v>
      </c>
      <c r="B7" t="s">
        <v>18</v>
      </c>
      <c r="C7" t="str">
        <f t="shared" si="0"/>
        <v>5|Màu đen</v>
      </c>
      <c r="F7">
        <v>5</v>
      </c>
      <c r="G7" t="s">
        <v>12</v>
      </c>
      <c r="H7" t="str">
        <f t="shared" si="1"/>
        <v>5|Loại 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WHITELIST</vt:lpstr>
      <vt:lpstr>BLACKLIST</vt:lpstr>
      <vt:lpstr>EXCEPTIONVEHICLE</vt:lpstr>
      <vt:lpstr>EXCEPTIONTICKET</vt:lpstr>
      <vt:lpstr>Categories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2020-07-02T07:08:26Z</dcterms:created>
  <dcterms:modified xsi:type="dcterms:W3CDTF">2020-08-05T08:10:15Z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eb28dab6-04d1-40fa-a94d-bba058c329a8</vt:lpwstr>
  </property>
</Properties>
</file>